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E5F651FC-825C-4F38-B389-44BCEAE28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K-07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1" l="1"/>
  <c r="H11" i="1"/>
  <c r="H12" i="1"/>
  <c r="H13" i="1"/>
  <c r="H14" i="1"/>
  <c r="H15" i="1"/>
  <c r="H10" i="1"/>
  <c r="H9" i="1" l="1"/>
  <c r="I9" i="1" l="1"/>
  <c r="J9" i="1" s="1"/>
</calcChain>
</file>

<file path=xl/sharedStrings.xml><?xml version="1.0" encoding="utf-8"?>
<sst xmlns="http://schemas.openxmlformats.org/spreadsheetml/2006/main" count="42" uniqueCount="39">
  <si>
    <t>PENETAPAN KRITERIA KETUNTASAN MINIMAL</t>
  </si>
  <si>
    <t>Mata Pelajaran</t>
  </si>
  <si>
    <t>Kompetensi keahlian</t>
  </si>
  <si>
    <t xml:space="preserve">Kelas </t>
  </si>
  <si>
    <t>Tahun Pelajaran</t>
  </si>
  <si>
    <t>Kompleksitas</t>
  </si>
  <si>
    <t>Intake</t>
  </si>
  <si>
    <t>KKM KD</t>
  </si>
  <si>
    <t>KKM SK</t>
  </si>
  <si>
    <t>KKM MP</t>
  </si>
  <si>
    <t>Kepala SMK NU Tulungagung</t>
  </si>
  <si>
    <t>Guru Mata Pelajaran</t>
  </si>
  <si>
    <t xml:space="preserve">Daya Dukung </t>
  </si>
  <si>
    <t>NO.</t>
  </si>
  <si>
    <t>1.</t>
  </si>
  <si>
    <t>:</t>
  </si>
  <si>
    <t>M. Anton Arizal,S.T</t>
  </si>
  <si>
    <t>Teknik Komputer dan Jaringan</t>
  </si>
  <si>
    <t>Elemen</t>
  </si>
  <si>
    <t>2022-2023</t>
  </si>
  <si>
    <t>X</t>
  </si>
  <si>
    <t>Informatika</t>
  </si>
  <si>
    <t>Elliya Lestari, S.Kom</t>
  </si>
  <si>
    <t>Tulungagung, 18 Juli 2022</t>
  </si>
  <si>
    <t>2.</t>
  </si>
  <si>
    <t>3.</t>
  </si>
  <si>
    <t>5.</t>
  </si>
  <si>
    <t xml:space="preserve">4. </t>
  </si>
  <si>
    <t>Teknologi Informasi dan Komunikasi (TIK)</t>
  </si>
  <si>
    <t>Berpikir Komputasional (BK</t>
  </si>
  <si>
    <t>Sistem Komputer (SK)</t>
  </si>
  <si>
    <t>Jaringan Komputer dan Internet (JKI)</t>
  </si>
  <si>
    <t>Dampak Sosial Informatika (DSI)</t>
  </si>
  <si>
    <t>Algoritma dan Pemrograman (AP)</t>
  </si>
  <si>
    <t>Analisis Data (AD)</t>
  </si>
  <si>
    <t>Praktika Lintas Bidang (PLB)</t>
  </si>
  <si>
    <t>6.</t>
  </si>
  <si>
    <t>7.</t>
  </si>
  <si>
    <t>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</si>
</sst>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9"/>
      <name val="Tahoma"/>
      <family val="2"/>
    </font>
    <font>
      <sz val="10"/>
      <name val="Tahoma"/>
      <family val="2"/>
    </font>
    <font>
      <sz val="10"/>
      <color theme="1"/>
      <name val="Tahoma"/>
      <family val="2"/>
    </font>
    <font>
      <b/>
      <u/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/>
    <xf numFmtId="0" fontId="6" fillId="0" borderId="0" xfId="0" applyFont="1" applyAlignment="1">
      <alignment wrapText="1"/>
    </xf>
    <xf numFmtId="0" fontId="6" fillId="0" borderId="0" xfId="0" applyFont="1" applyAlignment="1"/>
    <xf numFmtId="0" fontId="5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7"/>
  <sheetViews>
    <sheetView tabSelected="1" workbookViewId="0">
      <selection sqref="A1:J26"/>
    </sheetView>
  </sheetViews>
  <sheetFormatPr defaultRowHeight="13.2" x14ac:dyDescent="0.25"/>
  <cols>
    <col min="1" max="1" width="4.5546875" customWidth="1"/>
    <col min="2" max="2" width="29.6640625" customWidth="1"/>
    <col min="3" max="3" width="4.33203125" customWidth="1"/>
    <col min="4" max="4" width="41" customWidth="1"/>
    <col min="5" max="5" width="11.6640625" bestFit="1" customWidth="1"/>
    <col min="6" max="6" width="9" customWidth="1"/>
    <col min="7" max="7" width="7.33203125" customWidth="1"/>
    <col min="8" max="8" width="7.88671875" customWidth="1"/>
    <col min="9" max="9" width="6.109375" customWidth="1"/>
    <col min="10" max="10" width="7" customWidth="1"/>
  </cols>
  <sheetData>
    <row r="1" spans="1:12" ht="14.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2" ht="4.5" customHeight="1" x14ac:dyDescent="0.25"/>
    <row r="3" spans="1:12" ht="14.4" x14ac:dyDescent="0.3">
      <c r="A3" s="1" t="s">
        <v>1</v>
      </c>
      <c r="B3" s="2"/>
      <c r="C3" s="2" t="s">
        <v>15</v>
      </c>
      <c r="D3" s="13" t="s">
        <v>21</v>
      </c>
      <c r="E3" s="1"/>
      <c r="F3" s="1"/>
      <c r="G3" s="1"/>
      <c r="H3" s="1"/>
      <c r="I3" s="1"/>
      <c r="J3" s="1"/>
    </row>
    <row r="4" spans="1:12" ht="14.4" x14ac:dyDescent="0.3">
      <c r="A4" s="1" t="s">
        <v>2</v>
      </c>
      <c r="B4" s="1"/>
      <c r="C4" s="1" t="s">
        <v>15</v>
      </c>
      <c r="D4" s="1" t="s">
        <v>17</v>
      </c>
      <c r="E4" s="1"/>
      <c r="F4" s="1"/>
      <c r="G4" s="1"/>
      <c r="H4" s="1"/>
      <c r="I4" s="1"/>
      <c r="J4" s="1"/>
    </row>
    <row r="5" spans="1:12" ht="14.4" x14ac:dyDescent="0.3">
      <c r="A5" s="1" t="s">
        <v>3</v>
      </c>
      <c r="B5" s="1"/>
      <c r="C5" s="1" t="s">
        <v>15</v>
      </c>
      <c r="D5" s="1" t="s">
        <v>20</v>
      </c>
      <c r="E5" s="1"/>
      <c r="F5" s="1"/>
      <c r="G5" s="1"/>
      <c r="H5" s="1"/>
      <c r="I5" s="1"/>
      <c r="J5" s="1"/>
    </row>
    <row r="6" spans="1:12" ht="14.4" x14ac:dyDescent="0.3">
      <c r="A6" s="1" t="s">
        <v>4</v>
      </c>
      <c r="B6" s="1"/>
      <c r="C6" s="1" t="s">
        <v>15</v>
      </c>
      <c r="D6" s="1" t="s">
        <v>19</v>
      </c>
      <c r="E6" s="1"/>
      <c r="F6" s="1"/>
      <c r="G6" s="1"/>
      <c r="H6" s="1"/>
      <c r="I6" s="1"/>
      <c r="J6" s="1"/>
    </row>
    <row r="7" spans="1:12" ht="14.4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2" ht="26.4" x14ac:dyDescent="0.25">
      <c r="A8" s="12" t="s">
        <v>13</v>
      </c>
      <c r="B8" s="18" t="s">
        <v>18</v>
      </c>
      <c r="C8" s="19"/>
      <c r="D8" s="20"/>
      <c r="E8" s="15" t="s">
        <v>5</v>
      </c>
      <c r="F8" s="15" t="s">
        <v>12</v>
      </c>
      <c r="G8" s="15" t="s">
        <v>6</v>
      </c>
      <c r="H8" s="15" t="s">
        <v>7</v>
      </c>
      <c r="I8" s="15" t="s">
        <v>8</v>
      </c>
      <c r="J8" s="15" t="s">
        <v>9</v>
      </c>
    </row>
    <row r="9" spans="1:12" ht="21" customHeight="1" x14ac:dyDescent="0.25">
      <c r="A9" s="12" t="s">
        <v>14</v>
      </c>
      <c r="B9" s="25" t="s">
        <v>29</v>
      </c>
      <c r="C9" s="26"/>
      <c r="D9" s="27"/>
      <c r="E9" s="16">
        <v>3</v>
      </c>
      <c r="F9" s="16">
        <v>2</v>
      </c>
      <c r="G9" s="16">
        <v>3</v>
      </c>
      <c r="H9" s="17">
        <f>((E9+G9+F9)/9)*100</f>
        <v>88.888888888888886</v>
      </c>
      <c r="I9" s="29">
        <f>AVERAGE(H9:H15)</f>
        <v>80.952380952380949</v>
      </c>
      <c r="J9" s="29">
        <f>AVERAGE(I9:I15)</f>
        <v>80.952380952380949</v>
      </c>
    </row>
    <row r="10" spans="1:12" ht="22.8" customHeight="1" x14ac:dyDescent="0.25">
      <c r="A10" s="12" t="s">
        <v>24</v>
      </c>
      <c r="B10" s="25" t="s">
        <v>28</v>
      </c>
      <c r="C10" s="26"/>
      <c r="D10" s="27"/>
      <c r="E10" s="16">
        <v>3</v>
      </c>
      <c r="F10" s="16">
        <v>2</v>
      </c>
      <c r="G10" s="16">
        <v>3</v>
      </c>
      <c r="H10" s="17">
        <f>((E10+G10+F10)/9)*100</f>
        <v>88.888888888888886</v>
      </c>
      <c r="I10" s="30"/>
      <c r="J10" s="30"/>
    </row>
    <row r="11" spans="1:12" ht="21" customHeight="1" x14ac:dyDescent="0.25">
      <c r="A11" s="12" t="s">
        <v>25</v>
      </c>
      <c r="B11" s="25" t="s">
        <v>30</v>
      </c>
      <c r="C11" s="26"/>
      <c r="D11" s="27"/>
      <c r="E11" s="16">
        <v>2</v>
      </c>
      <c r="F11" s="16">
        <v>2</v>
      </c>
      <c r="G11" s="16">
        <v>2</v>
      </c>
      <c r="H11" s="17">
        <f t="shared" ref="H11:H16" si="0">((E11+G11+F11)/9)*100</f>
        <v>66.666666666666657</v>
      </c>
      <c r="I11" s="30"/>
      <c r="J11" s="30"/>
    </row>
    <row r="12" spans="1:12" ht="21" customHeight="1" x14ac:dyDescent="0.25">
      <c r="A12" s="12" t="s">
        <v>27</v>
      </c>
      <c r="B12" s="25" t="s">
        <v>31</v>
      </c>
      <c r="C12" s="26"/>
      <c r="D12" s="27"/>
      <c r="E12" s="16">
        <v>3</v>
      </c>
      <c r="F12" s="16">
        <v>2</v>
      </c>
      <c r="G12" s="16">
        <v>2</v>
      </c>
      <c r="H12" s="17">
        <f t="shared" si="0"/>
        <v>77.777777777777786</v>
      </c>
      <c r="I12" s="30"/>
      <c r="J12" s="30"/>
    </row>
    <row r="13" spans="1:12" ht="21" customHeight="1" x14ac:dyDescent="0.25">
      <c r="A13" s="12" t="s">
        <v>26</v>
      </c>
      <c r="B13" s="25" t="s">
        <v>34</v>
      </c>
      <c r="C13" s="26"/>
      <c r="D13" s="27"/>
      <c r="E13" s="16">
        <v>3</v>
      </c>
      <c r="F13" s="16">
        <v>2</v>
      </c>
      <c r="G13" s="16">
        <v>2</v>
      </c>
      <c r="H13" s="17">
        <f t="shared" si="0"/>
        <v>77.777777777777786</v>
      </c>
      <c r="I13" s="30"/>
      <c r="J13" s="30"/>
    </row>
    <row r="14" spans="1:12" ht="21" customHeight="1" x14ac:dyDescent="0.25">
      <c r="A14" s="12" t="s">
        <v>36</v>
      </c>
      <c r="B14" s="25" t="s">
        <v>33</v>
      </c>
      <c r="C14" s="26"/>
      <c r="D14" s="27"/>
      <c r="E14" s="16">
        <v>3</v>
      </c>
      <c r="F14" s="16">
        <v>2</v>
      </c>
      <c r="G14" s="16">
        <v>2</v>
      </c>
      <c r="H14" s="17">
        <f t="shared" si="0"/>
        <v>77.777777777777786</v>
      </c>
      <c r="I14" s="30"/>
      <c r="J14" s="30"/>
    </row>
    <row r="15" spans="1:12" ht="21" customHeight="1" x14ac:dyDescent="0.25">
      <c r="A15" s="12" t="s">
        <v>37</v>
      </c>
      <c r="B15" s="25" t="s">
        <v>32</v>
      </c>
      <c r="C15" s="26"/>
      <c r="D15" s="27"/>
      <c r="E15" s="16">
        <v>3</v>
      </c>
      <c r="F15" s="16">
        <v>3</v>
      </c>
      <c r="G15" s="16">
        <v>2</v>
      </c>
      <c r="H15" s="17">
        <f t="shared" si="0"/>
        <v>88.888888888888886</v>
      </c>
      <c r="I15" s="30"/>
      <c r="J15" s="30"/>
    </row>
    <row r="16" spans="1:12" ht="18" customHeight="1" x14ac:dyDescent="0.25">
      <c r="A16" s="21" t="s">
        <v>38</v>
      </c>
      <c r="B16" s="22" t="s">
        <v>35</v>
      </c>
      <c r="C16" s="23"/>
      <c r="D16" s="24"/>
      <c r="E16" s="28">
        <v>3</v>
      </c>
      <c r="F16" s="32">
        <v>3</v>
      </c>
      <c r="G16" s="32">
        <v>2</v>
      </c>
      <c r="H16" s="17">
        <f t="shared" si="0"/>
        <v>88.888888888888886</v>
      </c>
      <c r="I16" s="31"/>
      <c r="J16" s="31"/>
      <c r="K16" s="4"/>
      <c r="L16" s="4"/>
    </row>
    <row r="17" spans="1:12" x14ac:dyDescent="0.25">
      <c r="A17" s="3"/>
      <c r="B17" s="7"/>
      <c r="C17" s="7"/>
      <c r="D17" s="7"/>
      <c r="E17" s="8"/>
      <c r="F17" s="8"/>
      <c r="G17" s="9"/>
      <c r="H17" s="8"/>
      <c r="I17" s="8"/>
      <c r="J17" s="4"/>
      <c r="K17" s="4"/>
      <c r="L17" s="4"/>
    </row>
    <row r="18" spans="1:12" x14ac:dyDescent="0.25">
      <c r="A18" s="3"/>
      <c r="B18" s="7"/>
      <c r="C18" s="7"/>
      <c r="D18" s="7"/>
      <c r="E18" s="8"/>
      <c r="F18" s="8"/>
      <c r="G18" s="9"/>
      <c r="H18" s="8"/>
      <c r="I18" s="8"/>
      <c r="J18" s="4"/>
      <c r="K18" s="4"/>
      <c r="L18" s="4"/>
    </row>
    <row r="19" spans="1:12" x14ac:dyDescent="0.25">
      <c r="A19" s="3"/>
      <c r="B19" s="7"/>
      <c r="C19" s="7"/>
      <c r="D19" s="7"/>
      <c r="E19" s="8"/>
      <c r="F19" s="8"/>
      <c r="G19" s="9"/>
      <c r="H19" s="8"/>
      <c r="I19" s="8"/>
      <c r="J19" s="4"/>
      <c r="K19" s="4"/>
      <c r="L19" s="4"/>
    </row>
    <row r="20" spans="1:12" x14ac:dyDescent="0.25">
      <c r="A20" s="3"/>
      <c r="C20" s="7"/>
      <c r="D20" s="7"/>
      <c r="E20" s="8"/>
      <c r="F20" s="8" t="s">
        <v>23</v>
      </c>
      <c r="G20" s="9"/>
      <c r="H20" s="8"/>
      <c r="I20" s="8"/>
      <c r="J20" s="4"/>
      <c r="K20" s="4"/>
      <c r="L20" s="4"/>
    </row>
    <row r="21" spans="1:12" x14ac:dyDescent="0.25">
      <c r="A21" s="3"/>
      <c r="B21" s="7" t="s">
        <v>10</v>
      </c>
      <c r="C21" s="7"/>
      <c r="D21" s="7"/>
      <c r="E21" s="8"/>
      <c r="F21" s="8" t="s">
        <v>11</v>
      </c>
      <c r="G21" s="9"/>
      <c r="H21" s="8"/>
      <c r="I21" s="8"/>
      <c r="J21" s="4"/>
      <c r="K21" s="4"/>
      <c r="L21" s="4"/>
    </row>
    <row r="22" spans="1:12" x14ac:dyDescent="0.25">
      <c r="A22" s="3"/>
      <c r="B22" s="7"/>
      <c r="C22" s="7"/>
      <c r="D22" s="7"/>
      <c r="E22" s="8"/>
      <c r="F22" s="8"/>
      <c r="G22" s="9"/>
      <c r="H22" s="8"/>
      <c r="I22" s="8"/>
      <c r="J22" s="4"/>
      <c r="K22" s="4"/>
      <c r="L22" s="4"/>
    </row>
    <row r="23" spans="1:12" x14ac:dyDescent="0.25">
      <c r="A23" s="3"/>
      <c r="B23" s="7"/>
      <c r="C23" s="7"/>
      <c r="D23" s="7"/>
      <c r="E23" s="8"/>
      <c r="F23" s="8"/>
      <c r="G23" s="9"/>
      <c r="H23" s="8"/>
      <c r="I23" s="8"/>
      <c r="J23" s="4"/>
      <c r="K23" s="4"/>
      <c r="L23" s="4"/>
    </row>
    <row r="24" spans="1:12" x14ac:dyDescent="0.25">
      <c r="A24" s="3"/>
      <c r="B24" s="7"/>
      <c r="C24" s="7"/>
      <c r="D24" s="7"/>
      <c r="E24" s="8"/>
      <c r="F24" s="8"/>
      <c r="G24" s="9"/>
      <c r="H24" s="8"/>
      <c r="I24" s="8"/>
      <c r="J24" s="4"/>
      <c r="K24" s="4"/>
      <c r="L24" s="4"/>
    </row>
    <row r="25" spans="1:12" ht="12.75" customHeight="1" x14ac:dyDescent="0.25">
      <c r="B25" s="10" t="s">
        <v>22</v>
      </c>
      <c r="C25" s="10"/>
      <c r="D25" s="10"/>
      <c r="E25" s="8"/>
      <c r="F25" s="11" t="s">
        <v>16</v>
      </c>
      <c r="G25" s="9"/>
      <c r="H25" s="11"/>
      <c r="I25" s="11"/>
    </row>
    <row r="26" spans="1:12" x14ac:dyDescent="0.25">
      <c r="A26" s="5"/>
      <c r="B26" s="5"/>
      <c r="C26" s="5"/>
      <c r="D26" s="3"/>
      <c r="E26" s="4"/>
      <c r="F26" s="4"/>
      <c r="G26" s="4"/>
      <c r="H26" s="4"/>
      <c r="I26" s="4"/>
      <c r="J26" s="6"/>
      <c r="K26" s="6"/>
      <c r="L26" s="6"/>
    </row>
    <row r="27" spans="1:12" x14ac:dyDescent="0.25">
      <c r="A27" s="5"/>
      <c r="B27" s="5"/>
      <c r="C27" s="5"/>
      <c r="D27" s="3"/>
      <c r="E27" s="4"/>
      <c r="F27" s="4"/>
      <c r="G27" s="4"/>
      <c r="H27" s="4"/>
      <c r="I27" s="4"/>
      <c r="J27" s="6"/>
      <c r="K27" s="6"/>
      <c r="L27" s="6"/>
    </row>
  </sheetData>
  <mergeCells count="12">
    <mergeCell ref="B16:D16"/>
    <mergeCell ref="I9:I16"/>
    <mergeCell ref="J9:J16"/>
    <mergeCell ref="A1:J1"/>
    <mergeCell ref="B8:D8"/>
    <mergeCell ref="B9:D9"/>
    <mergeCell ref="B10:D10"/>
    <mergeCell ref="B11:D11"/>
    <mergeCell ref="B12:D12"/>
    <mergeCell ref="B13:D13"/>
    <mergeCell ref="B14:D14"/>
    <mergeCell ref="B15:D15"/>
  </mergeCells>
  <printOptions horizontalCentered="1"/>
  <pageMargins left="0.74803149606299213" right="0.15748031496062992" top="0.62992125984251968" bottom="0.59055118110236227" header="0.51181102362204722" footer="0.5118110236220472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KK-07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MJAFARS</dc:creator>
  <cp:lastModifiedBy>anton arizal</cp:lastModifiedBy>
  <cp:lastPrinted>2022-10-27T00:36:10Z</cp:lastPrinted>
  <dcterms:created xsi:type="dcterms:W3CDTF">2017-03-07T11:40:31Z</dcterms:created>
  <dcterms:modified xsi:type="dcterms:W3CDTF">2022-10-27T00:37:56Z</dcterms:modified>
</cp:coreProperties>
</file>